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drawingml.chart+xml" PartName="/xl/charts/chart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ummary Data" sheetId="1" r:id="rId5"/>
    <sheet state="visible" name="Manual Data" sheetId="2" r:id="rId6"/>
    <sheet state="visible" name="Automated Data" sheetId="3" r:id="rId7"/>
    <sheet state="visible" name="Summary Chart" sheetId="4" r:id="rId8"/>
  </sheets>
  <definedNames/>
  <calcPr/>
</workbook>
</file>

<file path=xl/sharedStrings.xml><?xml version="1.0" encoding="utf-8"?>
<sst xmlns="http://schemas.openxmlformats.org/spreadsheetml/2006/main" count="28" uniqueCount="19">
  <si>
    <t>condition</t>
  </si>
  <si>
    <t>Measured</t>
  </si>
  <si>
    <t>sample 1 V</t>
  </si>
  <si>
    <t>sample 2 V</t>
  </si>
  <si>
    <t>sample 3 V</t>
  </si>
  <si>
    <t>Sampled with ADC</t>
  </si>
  <si>
    <t>Completely dry</t>
  </si>
  <si>
    <t>Average</t>
  </si>
  <si>
    <t>Std. Dev</t>
  </si>
  <si>
    <t xml:space="preserve">Blowing on it </t>
  </si>
  <si>
    <t>Dry</t>
  </si>
  <si>
    <t>Half wiped down with the wet wipe</t>
  </si>
  <si>
    <t>Entire surface wiped</t>
  </si>
  <si>
    <t>Wipe on entire surface</t>
  </si>
  <si>
    <t>Individual Tests</t>
  </si>
  <si>
    <t>Breath</t>
  </si>
  <si>
    <t>Half Wiped</t>
  </si>
  <si>
    <t>Fully Wiped</t>
  </si>
  <si>
    <t>Full Wipe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</si>
</sst>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color theme="1"/>
      <name val="Arial"/>
      <scheme val="minor"/>
    </font>
    <font>
      <color theme="1"/>
      <name val="Arial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2" numFmtId="0" xfId="0" applyAlignment="1" applyFont="1">
      <alignment horizontal="right" vertical="bottom"/>
    </xf>
    <xf borderId="0" fillId="0" fontId="1" numFmtId="0" xfId="0" applyFont="1"/>
    <xf borderId="0" fillId="0" fontId="2" numFmtId="0" xfId="0" applyAlignment="1" applyFont="1">
      <alignment horizontal="right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Voltage vs. Wetness</a:t>
            </a:r>
          </a:p>
        </c:rich>
      </c:tx>
      <c:overlay val="0"/>
    </c:title>
    <c:plotArea>
      <c:layout/>
      <c:scatterChart>
        <c:scatterStyle val="lineMarker"/>
        <c:ser>
          <c:idx val="0"/>
          <c:order val="0"/>
          <c:tx>
            <c:strRef>
              <c:f>'Summary Data'!$B$1:$B$2</c:f>
            </c:strRef>
          </c:tx>
          <c:spPr>
            <a:ln>
              <a:noFill/>
            </a:ln>
          </c:spPr>
          <c:marker>
            <c:symbol val="circle"/>
            <c:size val="7"/>
            <c:spPr>
              <a:solidFill>
                <a:schemeClr val="accent1"/>
              </a:solidFill>
              <a:ln cmpd="sng">
                <a:solidFill>
                  <a:schemeClr val="accent1"/>
                </a:solidFill>
              </a:ln>
            </c:spPr>
          </c:marker>
          <c:trendline>
            <c:name/>
            <c:spPr>
              <a:ln w="19050">
                <a:solidFill>
                  <a:srgbClr val="000000"/>
                </a:solidFill>
              </a:ln>
            </c:spPr>
            <c:trendlineType val="linear"/>
            <c:dispRSqr val="0"/>
            <c:dispEq val="0"/>
          </c:trendline>
          <c:xVal>
            <c:numRef>
              <c:f>'Summary Data'!$A$3:$A$7</c:f>
            </c:numRef>
          </c:xVal>
          <c:yVal>
            <c:numRef>
              <c:f>'Summary Data'!$B$3:$B$7</c:f>
              <c:numCache/>
            </c:numRef>
          </c:yVal>
        </c:ser>
        <c:ser>
          <c:idx val="1"/>
          <c:order val="1"/>
          <c:tx>
            <c:strRef>
              <c:f>'Summary Data'!$C$1:$C$2</c:f>
            </c:strRef>
          </c:tx>
          <c:spPr>
            <a:ln>
              <a:noFill/>
            </a:ln>
          </c:spPr>
          <c:marker>
            <c:symbol val="circle"/>
            <c:size val="7"/>
            <c:spPr>
              <a:solidFill>
                <a:schemeClr val="accent2"/>
              </a:solidFill>
              <a:ln cmpd="sng">
                <a:solidFill>
                  <a:schemeClr val="accent2"/>
                </a:solidFill>
              </a:ln>
            </c:spPr>
          </c:marker>
          <c:trendline>
            <c:name/>
            <c:spPr>
              <a:ln w="19050">
                <a:solidFill>
                  <a:srgbClr val="000000"/>
                </a:solidFill>
              </a:ln>
            </c:spPr>
            <c:trendlineType val="linear"/>
            <c:dispRSqr val="0"/>
            <c:dispEq val="0"/>
          </c:trendline>
          <c:xVal>
            <c:numRef>
              <c:f>'Summary Data'!$A$3:$A$7</c:f>
            </c:numRef>
          </c:xVal>
          <c:yVal>
            <c:numRef>
              <c:f>'Summary Data'!$C$3:$C$7</c:f>
              <c:numCache/>
            </c:numRef>
          </c:yVal>
        </c:ser>
        <c:ser>
          <c:idx val="2"/>
          <c:order val="2"/>
          <c:tx>
            <c:strRef>
              <c:f>'Summary Data'!$D$1:$D$2</c:f>
            </c:strRef>
          </c:tx>
          <c:spPr>
            <a:ln>
              <a:noFill/>
            </a:ln>
          </c:spPr>
          <c:marker>
            <c:symbol val="circle"/>
            <c:size val="7"/>
            <c:spPr>
              <a:solidFill>
                <a:schemeClr val="accent3"/>
              </a:solidFill>
              <a:ln cmpd="sng">
                <a:solidFill>
                  <a:schemeClr val="accent3"/>
                </a:solidFill>
              </a:ln>
            </c:spPr>
          </c:marker>
          <c:trendline>
            <c:name/>
            <c:spPr>
              <a:ln w="19050">
                <a:solidFill>
                  <a:srgbClr val="000000"/>
                </a:solidFill>
              </a:ln>
            </c:spPr>
            <c:trendlineType val="linear"/>
            <c:dispRSqr val="0"/>
            <c:dispEq val="0"/>
          </c:trendline>
          <c:xVal>
            <c:numRef>
              <c:f>'Summary Data'!$A$3:$A$7</c:f>
            </c:numRef>
          </c:xVal>
          <c:yVal>
            <c:numRef>
              <c:f>'Summary Data'!$D$3:$D$7</c:f>
              <c:numCache/>
            </c:numRef>
          </c:yVal>
        </c:ser>
        <c:ser>
          <c:idx val="3"/>
          <c:order val="3"/>
          <c:tx>
            <c:strRef>
              <c:f>'Summary Data'!$E$1:$E$2</c:f>
            </c:strRef>
          </c:tx>
          <c:spPr>
            <a:ln>
              <a:noFill/>
            </a:ln>
          </c:spPr>
          <c:marker>
            <c:symbol val="circle"/>
            <c:size val="7"/>
            <c:spPr>
              <a:solidFill>
                <a:schemeClr val="accent4"/>
              </a:solidFill>
              <a:ln cmpd="sng">
                <a:solidFill>
                  <a:schemeClr val="accent4"/>
                </a:solidFill>
              </a:ln>
            </c:spPr>
          </c:marker>
          <c:trendline>
            <c:name/>
            <c:spPr>
              <a:ln w="19050">
                <a:solidFill>
                  <a:srgbClr val="000000"/>
                </a:solidFill>
              </a:ln>
            </c:spPr>
            <c:trendlineType val="linear"/>
            <c:dispRSqr val="0"/>
            <c:dispEq val="0"/>
          </c:trendline>
          <c:xVal>
            <c:numRef>
              <c:f>'Summary Data'!$A$3:$A$7</c:f>
            </c:numRef>
          </c:xVal>
          <c:yVal>
            <c:numRef>
              <c:f>'Summary Data'!$E$3:$E$7</c:f>
              <c:numCache/>
            </c:numRef>
          </c:y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31268433"/>
        <c:axId val="165668045"/>
      </c:scatterChart>
      <c:valAx>
        <c:axId val="131268433"/>
        <c:scaling>
          <c:orientation val="minMax"/>
        </c:scaling>
        <c:delete val="0"/>
        <c:axPos val="b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Wetness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65668045"/>
      </c:valAx>
      <c:valAx>
        <c:axId val="165668045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Voltage (V)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31268433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</xdr:col>
      <xdr:colOff>314325</xdr:colOff>
      <xdr:row>3</xdr:row>
      <xdr:rowOff>66675</xdr:rowOff>
    </xdr:from>
    <xdr:ext cx="5715000" cy="3533775"/>
    <xdr:graphicFrame>
      <xdr:nvGraphicFramePr>
        <xdr:cNvPr id="1" name="Chart 1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B1" s="1" t="s">
        <v>1</v>
      </c>
      <c r="C1" s="1" t="s">
        <v>1</v>
      </c>
      <c r="D1" s="1" t="s">
        <v>5</v>
      </c>
      <c r="E1" s="1" t="s">
        <v>5</v>
      </c>
    </row>
    <row r="2">
      <c r="B2" s="1" t="s">
        <v>7</v>
      </c>
      <c r="C2" s="1" t="s">
        <v>8</v>
      </c>
      <c r="D2" s="1" t="s">
        <v>7</v>
      </c>
      <c r="E2" s="1" t="s">
        <v>8</v>
      </c>
    </row>
    <row r="3">
      <c r="A3" s="1" t="s">
        <v>10</v>
      </c>
      <c r="B3" s="3">
        <f>AVERAGE('Manual Data'!B2,'Manual Data'!C2,'Manual Data'!D2)</f>
        <v>3.294123333</v>
      </c>
      <c r="C3" s="3">
        <f>STDEV('Manual Data'!B2,'Manual Data'!C2,'Manual Data'!D2)</f>
        <v>0.0004899319681</v>
      </c>
      <c r="D3" s="3">
        <f>AVERAGE('Automated Data'!B3:B12)</f>
        <v>6.292</v>
      </c>
      <c r="E3" s="3">
        <f>STDEV('Automated Data'!B3:B12)</f>
        <v>0</v>
      </c>
    </row>
    <row r="4">
      <c r="A4" s="1" t="s">
        <v>15</v>
      </c>
      <c r="B4" s="3">
        <f>AVERAGE('Manual Data'!B3,'Manual Data'!C3,'Manual Data'!D3)</f>
        <v>3.187</v>
      </c>
      <c r="C4" s="3">
        <f>STDEV('Manual Data'!B3,'Manual Data'!C3,'Manual Data'!D3)</f>
        <v>0.03176476035</v>
      </c>
      <c r="D4" s="3">
        <f>AVERAGE('Automated Data'!B14:B23)</f>
        <v>5.5372</v>
      </c>
      <c r="E4" s="3">
        <f>STDEV('Automated Data'!B14:B23)</f>
        <v>0.06171043492</v>
      </c>
    </row>
    <row r="5">
      <c r="A5" s="1" t="s">
        <v>16</v>
      </c>
      <c r="B5" s="3">
        <f>AVERAGE('Manual Data'!B4,'Manual Data'!C4,'Manual Data'!D4)</f>
        <v>1.651333333</v>
      </c>
      <c r="C5" s="3">
        <f>STDEV('Manual Data'!B4,'Manual Data'!C4,'Manual Data'!D4)</f>
        <v>0.1875108886</v>
      </c>
      <c r="D5" s="3">
        <f>AVERAGE('Automated Data'!B25:B34)</f>
        <v>3.832</v>
      </c>
      <c r="E5" s="3">
        <f>STDEV('Automated Data'!B25:B34)</f>
        <v>0.178895376</v>
      </c>
    </row>
    <row r="6">
      <c r="A6" s="1" t="s">
        <v>17</v>
      </c>
      <c r="B6" s="3">
        <f>AVERAGE('Manual Data'!B5,'Manual Data'!C5,'Manual Data'!D5)</f>
        <v>0.865</v>
      </c>
      <c r="C6" s="3">
        <f>STDEV('Manual Data'!B5,'Manual Data'!C5,'Manual Data'!D5)</f>
        <v>0.07932212806</v>
      </c>
      <c r="D6" s="3">
        <f> AVERAGE('Automated Data'!B36:B45)</f>
        <v>3.9252</v>
      </c>
      <c r="E6" s="3">
        <f>STDEV('Automated Data'!B36:B45)</f>
        <v>0.1289589082</v>
      </c>
    </row>
    <row r="7">
      <c r="A7" s="1" t="s">
        <v>18</v>
      </c>
      <c r="B7" s="3">
        <f>AVERAGE('Manual Data'!B6,'Manual Data'!C6,'Manual Data'!D6)</f>
        <v>0.6413333333</v>
      </c>
      <c r="C7" s="3">
        <f>STDEV('Manual Data'!B6,'Manual Data'!C6,'Manual Data'!D6)</f>
        <v>0.1282042641</v>
      </c>
      <c r="D7" s="3">
        <f>AVERAGE('Automated Data'!B47:B56)</f>
        <v>1.4514</v>
      </c>
      <c r="E7" s="3">
        <f>STDEV('Automated Data'!B47:B56)</f>
        <v>0.03760673699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6.75"/>
  </cols>
  <sheetData>
    <row r="1">
      <c r="A1" s="1" t="s">
        <v>0</v>
      </c>
      <c r="B1" s="1" t="s">
        <v>2</v>
      </c>
      <c r="C1" s="1" t="s">
        <v>3</v>
      </c>
      <c r="D1" s="1" t="s">
        <v>4</v>
      </c>
    </row>
    <row r="2">
      <c r="A2" s="1" t="s">
        <v>6</v>
      </c>
      <c r="B2" s="1">
        <v>3.29356</v>
      </c>
      <c r="C2" s="1">
        <v>3.29445</v>
      </c>
      <c r="D2" s="1">
        <v>3.29436</v>
      </c>
    </row>
    <row r="3">
      <c r="A3" s="1" t="s">
        <v>9</v>
      </c>
      <c r="B3" s="1">
        <v>3.16</v>
      </c>
      <c r="C3" s="1">
        <v>3.222</v>
      </c>
      <c r="D3" s="1">
        <v>3.179</v>
      </c>
    </row>
    <row r="4">
      <c r="A4" s="1" t="s">
        <v>11</v>
      </c>
      <c r="B4" s="1">
        <v>1.465</v>
      </c>
      <c r="C4" s="1">
        <v>1.649</v>
      </c>
      <c r="D4" s="1">
        <v>1.84</v>
      </c>
    </row>
    <row r="5">
      <c r="A5" s="1" t="s">
        <v>12</v>
      </c>
      <c r="B5" s="1">
        <v>0.887</v>
      </c>
      <c r="C5" s="1">
        <v>0.931</v>
      </c>
      <c r="D5" s="1">
        <v>0.777</v>
      </c>
    </row>
    <row r="6">
      <c r="A6" s="1" t="s">
        <v>13</v>
      </c>
      <c r="B6" s="1">
        <v>0.742</v>
      </c>
      <c r="C6" s="1">
        <v>0.685</v>
      </c>
      <c r="D6" s="1">
        <v>0.497</v>
      </c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/>
      <c r="B1" s="1" t="s">
        <v>14</v>
      </c>
    </row>
    <row r="2">
      <c r="A2" s="1" t="s">
        <v>10</v>
      </c>
    </row>
    <row r="3">
      <c r="A3" s="1">
        <v>1.0</v>
      </c>
      <c r="B3" s="2">
        <v>6.292</v>
      </c>
    </row>
    <row r="4">
      <c r="A4" s="1">
        <v>2.0</v>
      </c>
      <c r="B4" s="2">
        <v>6.292</v>
      </c>
    </row>
    <row r="5">
      <c r="A5" s="1">
        <v>3.0</v>
      </c>
      <c r="B5" s="2">
        <v>6.292</v>
      </c>
    </row>
    <row r="6">
      <c r="A6" s="1">
        <v>4.0</v>
      </c>
      <c r="B6" s="2">
        <v>6.292</v>
      </c>
    </row>
    <row r="7">
      <c r="A7" s="1">
        <v>5.0</v>
      </c>
      <c r="B7" s="2">
        <v>6.292</v>
      </c>
    </row>
    <row r="8">
      <c r="A8" s="1">
        <v>6.0</v>
      </c>
      <c r="B8" s="2">
        <v>6.292</v>
      </c>
    </row>
    <row r="9">
      <c r="A9" s="1">
        <v>7.0</v>
      </c>
      <c r="B9" s="2">
        <v>6.292</v>
      </c>
    </row>
    <row r="10">
      <c r="A10" s="1">
        <v>8.0</v>
      </c>
      <c r="B10" s="2">
        <v>6.292</v>
      </c>
    </row>
    <row r="11">
      <c r="A11" s="1">
        <v>9.0</v>
      </c>
      <c r="B11" s="1">
        <v>6.292</v>
      </c>
    </row>
    <row r="12">
      <c r="A12" s="1">
        <v>10.0</v>
      </c>
      <c r="B12" s="1">
        <v>6.292</v>
      </c>
    </row>
    <row r="13">
      <c r="A13" s="1" t="s">
        <v>15</v>
      </c>
    </row>
    <row r="14">
      <c r="A14" s="1">
        <v>1.0</v>
      </c>
      <c r="B14" s="2">
        <v>5.45</v>
      </c>
    </row>
    <row r="15">
      <c r="A15" s="1">
        <v>2.0</v>
      </c>
      <c r="B15" s="2">
        <v>5.482</v>
      </c>
    </row>
    <row r="16">
      <c r="A16" s="1">
        <v>3.0</v>
      </c>
      <c r="B16" s="4">
        <v>5.48</v>
      </c>
    </row>
    <row r="17">
      <c r="A17" s="1">
        <v>4.0</v>
      </c>
      <c r="B17" s="4">
        <v>5.488</v>
      </c>
    </row>
    <row r="18">
      <c r="A18" s="1">
        <v>5.0</v>
      </c>
      <c r="B18" s="4">
        <v>5.532</v>
      </c>
    </row>
    <row r="19">
      <c r="A19" s="1">
        <v>6.0</v>
      </c>
      <c r="B19" s="4">
        <v>5.552</v>
      </c>
    </row>
    <row r="20">
      <c r="A20" s="1">
        <v>7.0</v>
      </c>
      <c r="B20" s="4">
        <v>5.554</v>
      </c>
    </row>
    <row r="21">
      <c r="A21" s="1">
        <v>8.0</v>
      </c>
      <c r="B21" s="4">
        <v>5.588</v>
      </c>
    </row>
    <row r="22">
      <c r="A22" s="1">
        <v>9.0</v>
      </c>
      <c r="B22" s="4">
        <v>5.616</v>
      </c>
    </row>
    <row r="23">
      <c r="A23" s="1">
        <v>10.0</v>
      </c>
      <c r="B23" s="1">
        <v>5.63</v>
      </c>
    </row>
    <row r="24">
      <c r="A24" s="1" t="s">
        <v>16</v>
      </c>
    </row>
    <row r="25">
      <c r="A25" s="1">
        <v>1.0</v>
      </c>
      <c r="B25" s="4">
        <v>3.704</v>
      </c>
    </row>
    <row r="26">
      <c r="A26" s="1">
        <v>2.0</v>
      </c>
      <c r="B26" s="4">
        <v>3.78</v>
      </c>
    </row>
    <row r="27">
      <c r="A27" s="1">
        <v>3.0</v>
      </c>
      <c r="B27" s="4">
        <v>3.81</v>
      </c>
    </row>
    <row r="28">
      <c r="A28" s="1">
        <v>4.0</v>
      </c>
      <c r="B28" s="4">
        <v>3.836</v>
      </c>
    </row>
    <row r="29">
      <c r="A29" s="1">
        <v>5.0</v>
      </c>
      <c r="B29" s="4">
        <v>3.882</v>
      </c>
    </row>
    <row r="30">
      <c r="A30" s="1">
        <v>6.0</v>
      </c>
      <c r="B30" s="4">
        <v>3.95</v>
      </c>
    </row>
    <row r="31">
      <c r="A31" s="1">
        <v>7.0</v>
      </c>
      <c r="B31" s="4">
        <v>3.94</v>
      </c>
    </row>
    <row r="32">
      <c r="A32" s="1">
        <v>8.0</v>
      </c>
      <c r="B32" s="4">
        <v>3.986</v>
      </c>
    </row>
    <row r="33">
      <c r="A33" s="1">
        <v>9.0</v>
      </c>
      <c r="B33" s="4">
        <v>4.024</v>
      </c>
    </row>
    <row r="34">
      <c r="A34" s="1">
        <v>10.0</v>
      </c>
      <c r="B34" s="4">
        <v>3.408</v>
      </c>
    </row>
    <row r="35">
      <c r="A35" s="1" t="s">
        <v>17</v>
      </c>
    </row>
    <row r="36">
      <c r="A36" s="1">
        <v>1.0</v>
      </c>
      <c r="B36" s="4">
        <v>3.656</v>
      </c>
    </row>
    <row r="37">
      <c r="A37" s="1">
        <v>2.0</v>
      </c>
      <c r="B37" s="4">
        <v>3.782</v>
      </c>
    </row>
    <row r="38">
      <c r="A38" s="1">
        <v>3.0</v>
      </c>
      <c r="B38" s="4">
        <v>3.862</v>
      </c>
    </row>
    <row r="39">
      <c r="A39" s="1">
        <v>4.0</v>
      </c>
      <c r="B39" s="4">
        <v>3.928</v>
      </c>
    </row>
    <row r="40">
      <c r="A40" s="1">
        <v>5.0</v>
      </c>
      <c r="B40" s="1">
        <v>3.954</v>
      </c>
    </row>
    <row r="41">
      <c r="A41" s="1">
        <v>6.0</v>
      </c>
      <c r="B41" s="1">
        <v>3.96</v>
      </c>
    </row>
    <row r="42">
      <c r="A42" s="1">
        <v>7.0</v>
      </c>
      <c r="B42" s="4">
        <v>3.966</v>
      </c>
    </row>
    <row r="43">
      <c r="A43" s="1">
        <v>8.0</v>
      </c>
      <c r="B43" s="4">
        <v>4.008</v>
      </c>
    </row>
    <row r="44">
      <c r="A44" s="1">
        <v>9.0</v>
      </c>
      <c r="B44" s="1">
        <v>4.042</v>
      </c>
    </row>
    <row r="45">
      <c r="A45" s="1">
        <v>10.0</v>
      </c>
      <c r="B45" s="4">
        <v>4.094</v>
      </c>
    </row>
    <row r="46">
      <c r="A46" s="1" t="s">
        <v>18</v>
      </c>
    </row>
    <row r="47">
      <c r="A47" s="1">
        <v>1.0</v>
      </c>
      <c r="B47" s="4">
        <v>1.382</v>
      </c>
    </row>
    <row r="48">
      <c r="A48" s="1">
        <v>2.0</v>
      </c>
      <c r="B48" s="4">
        <v>1.408</v>
      </c>
    </row>
    <row r="49">
      <c r="A49" s="1">
        <v>3.0</v>
      </c>
      <c r="B49" s="1">
        <v>1.424</v>
      </c>
    </row>
    <row r="50">
      <c r="A50" s="1">
        <v>4.0</v>
      </c>
      <c r="B50" s="4">
        <v>1.442</v>
      </c>
    </row>
    <row r="51">
      <c r="A51" s="1">
        <v>5.0</v>
      </c>
      <c r="B51" s="4">
        <v>1.448</v>
      </c>
    </row>
    <row r="52">
      <c r="A52" s="1">
        <v>6.0</v>
      </c>
      <c r="B52" s="4">
        <v>1.468</v>
      </c>
    </row>
    <row r="53">
      <c r="A53" s="1">
        <v>7.0</v>
      </c>
      <c r="B53" s="4">
        <v>1.476</v>
      </c>
    </row>
    <row r="54">
      <c r="A54" s="1">
        <v>8.0</v>
      </c>
      <c r="B54" s="4">
        <v>1.484</v>
      </c>
    </row>
    <row r="55">
      <c r="A55" s="1">
        <v>9.0</v>
      </c>
      <c r="B55" s="4">
        <v>1.484</v>
      </c>
    </row>
    <row r="56">
      <c r="A56" s="1">
        <v>10.0</v>
      </c>
      <c r="B56" s="4">
        <v>1.498</v>
      </c>
    </row>
    <row r="60">
      <c r="B60" s="4"/>
    </row>
    <row r="61">
      <c r="B61" s="4"/>
    </row>
    <row r="62">
      <c r="B62" s="4"/>
    </row>
    <row r="63">
      <c r="B63" s="4"/>
    </row>
    <row r="64">
      <c r="B64" s="4"/>
    </row>
    <row r="65">
      <c r="B65" s="4"/>
    </row>
    <row r="66">
      <c r="B66" s="4"/>
    </row>
    <row r="67">
      <c r="B67" s="4"/>
    </row>
    <row r="68">
      <c r="B68" s="4"/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/>
  <drawing r:id="rId1"/>
</worksheet>
</file>